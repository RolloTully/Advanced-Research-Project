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rollo\Documents\University Content\Year 4\Advanced Research Project\Testing\"/>
    </mc:Choice>
  </mc:AlternateContent>
  <xr:revisionPtr revIDLastSave="0" documentId="13_ncr:1_{3B9702DD-7B12-43F6-896C-B6AE6B7DCF8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sting Foil Defintion " sheetId="1" r:id="rId1"/>
    <sheet name="Testing 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" l="1"/>
  <c r="L6" i="2"/>
  <c r="L5" i="2"/>
  <c r="L4" i="2"/>
  <c r="L3" i="2"/>
  <c r="L2" i="2"/>
  <c r="K4" i="2"/>
  <c r="K5" i="2" s="1"/>
  <c r="K6" i="2" s="1"/>
  <c r="K7" i="2" s="1"/>
  <c r="K3" i="2"/>
  <c r="C12" i="2"/>
  <c r="C11" i="2"/>
  <c r="C10" i="2"/>
  <c r="C9" i="2"/>
  <c r="C8" i="2"/>
  <c r="C7" i="2"/>
  <c r="C6" i="2"/>
  <c r="C5" i="2"/>
  <c r="C4" i="2"/>
  <c r="C3" i="2"/>
  <c r="C2" i="2"/>
  <c r="A4" i="2"/>
  <c r="A5" i="2" s="1"/>
  <c r="A6" i="2" s="1"/>
  <c r="A7" i="2" s="1"/>
  <c r="A8" i="2" s="1"/>
  <c r="A9" i="2" s="1"/>
  <c r="A10" i="2" s="1"/>
  <c r="A11" i="2" s="1"/>
  <c r="A12" i="2" s="1"/>
  <c r="A3" i="2"/>
  <c r="C2" i="1"/>
</calcChain>
</file>

<file path=xl/sharedStrings.xml><?xml version="1.0" encoding="utf-8"?>
<sst xmlns="http://schemas.openxmlformats.org/spreadsheetml/2006/main" count="26" uniqueCount="19">
  <si>
    <t>Span</t>
  </si>
  <si>
    <t>Chord</t>
  </si>
  <si>
    <t>Area</t>
  </si>
  <si>
    <t>Foil Profile</t>
  </si>
  <si>
    <t>S1223</t>
  </si>
  <si>
    <t>Fx [N]</t>
  </si>
  <si>
    <t>Fy [N]</t>
  </si>
  <si>
    <t>Fl [N]</t>
  </si>
  <si>
    <t>Fd [N]</t>
  </si>
  <si>
    <t>Cl</t>
  </si>
  <si>
    <t>Cd</t>
  </si>
  <si>
    <t>Reynold Number</t>
  </si>
  <si>
    <t>Flow Speed [ms^-1]</t>
  </si>
  <si>
    <t>Angle of Attack [Degrees]</t>
  </si>
  <si>
    <t>Air Conditions</t>
  </si>
  <si>
    <t>Reynolds Number</t>
  </si>
  <si>
    <t>Temperature [Rankine]</t>
  </si>
  <si>
    <t>Dynamic Viscosity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</si>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</sst>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11" fontId="0" fillId="3" borderId="1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5" xfId="0" applyBorder="1"/>
    <xf numFmtId="0" fontId="0" fillId="5" borderId="1" xfId="0" applyFill="1" applyBorder="1"/>
    <xf numFmtId="0" fontId="0" fillId="3" borderId="6" xfId="0" applyFill="1" applyBorder="1"/>
    <xf numFmtId="0" fontId="0" fillId="3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E5" sqref="E5"/>
    </sheetView>
  </sheetViews>
  <sheetFormatPr defaultRowHeight="14.4" x14ac:dyDescent="0.3"/>
  <cols>
    <col min="4" max="4" width="11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0.6</v>
      </c>
      <c r="B2" s="2">
        <v>0.2</v>
      </c>
      <c r="C2" s="3">
        <f>A2*B2</f>
        <v>0.12</v>
      </c>
      <c r="D2" s="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4586-757D-43D8-AD26-7A5A0B2CC329}">
  <dimension ref="A1:R18"/>
  <sheetViews>
    <sheetView tabSelected="1" workbookViewId="0">
      <selection activeCell="N17" sqref="N17"/>
    </sheetView>
  </sheetViews>
  <sheetFormatPr defaultRowHeight="14.4" x14ac:dyDescent="0.3"/>
  <cols>
    <col min="1" max="1" width="21.88671875" customWidth="1"/>
    <col min="2" max="2" width="17.88671875" customWidth="1"/>
    <col min="3" max="3" width="16.44140625" customWidth="1"/>
    <col min="11" max="11" width="17.5546875" customWidth="1"/>
    <col min="12" max="12" width="16.109375" customWidth="1"/>
  </cols>
  <sheetData>
    <row r="1" spans="1:18" x14ac:dyDescent="0.3">
      <c r="A1" s="1" t="s">
        <v>13</v>
      </c>
      <c r="B1" s="1" t="s">
        <v>12</v>
      </c>
      <c r="C1" s="1" t="s">
        <v>11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K1" t="s">
        <v>12</v>
      </c>
      <c r="L1" t="s">
        <v>15</v>
      </c>
      <c r="M1" s="9" t="s">
        <v>5</v>
      </c>
      <c r="N1" s="9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 x14ac:dyDescent="0.3">
      <c r="A2" s="4">
        <v>-10</v>
      </c>
      <c r="B2" s="4">
        <v>30</v>
      </c>
      <c r="C2" s="3">
        <f>(1.225*B2*'Testing Foil Defintion '!$B$2)/'Testing Results'!$B$18</f>
        <v>612500</v>
      </c>
      <c r="D2" s="10"/>
      <c r="E2" s="10"/>
      <c r="F2" s="6"/>
      <c r="G2" s="8"/>
      <c r="H2" s="6"/>
      <c r="I2" s="8"/>
      <c r="K2" s="4">
        <v>0</v>
      </c>
      <c r="L2" s="3">
        <f>(1.225*K2*'Testing Foil Defintion '!$B$2)/'Testing Results'!$B$18</f>
        <v>0</v>
      </c>
      <c r="M2" s="10"/>
      <c r="N2" s="10"/>
      <c r="O2" s="6"/>
      <c r="P2" s="8"/>
      <c r="Q2" s="7"/>
      <c r="R2" s="8"/>
    </row>
    <row r="3" spans="1:18" x14ac:dyDescent="0.3">
      <c r="A3" s="4">
        <f>A2+2</f>
        <v>-8</v>
      </c>
      <c r="B3" s="4">
        <v>30</v>
      </c>
      <c r="C3" s="3">
        <f>(1.225*B3*'Testing Foil Defintion '!$B$2)/'Testing Results'!$B$18</f>
        <v>612500</v>
      </c>
      <c r="D3" s="10"/>
      <c r="E3" s="10"/>
      <c r="F3" s="6"/>
      <c r="G3" s="8"/>
      <c r="H3" s="6"/>
      <c r="I3" s="8"/>
      <c r="K3" s="4">
        <f>K2+10</f>
        <v>10</v>
      </c>
      <c r="L3" s="3">
        <f>(1.225*K3*'Testing Foil Defintion '!$B$2)/'Testing Results'!$B$18</f>
        <v>204166.66666666669</v>
      </c>
      <c r="M3" s="10"/>
      <c r="N3" s="10"/>
      <c r="O3" s="6"/>
      <c r="P3" s="8"/>
      <c r="Q3" s="7"/>
      <c r="R3" s="8"/>
    </row>
    <row r="4" spans="1:18" x14ac:dyDescent="0.3">
      <c r="A4" s="4">
        <f t="shared" ref="A4:A12" si="0">A3+2</f>
        <v>-6</v>
      </c>
      <c r="B4" s="4">
        <v>30</v>
      </c>
      <c r="C4" s="3">
        <f>(1.225*B4*'Testing Foil Defintion '!$B$2)/'Testing Results'!$B$18</f>
        <v>612500</v>
      </c>
      <c r="D4" s="10"/>
      <c r="E4" s="10"/>
      <c r="F4" s="6"/>
      <c r="G4" s="8"/>
      <c r="H4" s="6"/>
      <c r="I4" s="8"/>
      <c r="K4" s="4">
        <f t="shared" ref="K4:K7" si="1">K3+10</f>
        <v>20</v>
      </c>
      <c r="L4" s="3">
        <f>(1.225*K4*'Testing Foil Defintion '!$B$2)/'Testing Results'!$B$18</f>
        <v>408333.33333333337</v>
      </c>
      <c r="M4" s="10"/>
      <c r="N4" s="10"/>
      <c r="O4" s="6"/>
      <c r="P4" s="8"/>
      <c r="Q4" s="7"/>
      <c r="R4" s="8"/>
    </row>
    <row r="5" spans="1:18" x14ac:dyDescent="0.3">
      <c r="A5" s="4">
        <f t="shared" si="0"/>
        <v>-4</v>
      </c>
      <c r="B5" s="4">
        <v>30</v>
      </c>
      <c r="C5" s="3">
        <f>(1.225*B5*'Testing Foil Defintion '!$B$2)/'Testing Results'!$B$18</f>
        <v>612500</v>
      </c>
      <c r="D5" s="10"/>
      <c r="E5" s="10"/>
      <c r="F5" s="6"/>
      <c r="G5" s="8"/>
      <c r="H5" s="6"/>
      <c r="I5" s="8"/>
      <c r="K5" s="4">
        <f t="shared" si="1"/>
        <v>30</v>
      </c>
      <c r="L5" s="3">
        <f>(1.225*K5*'Testing Foil Defintion '!$B$2)/'Testing Results'!$B$18</f>
        <v>612500</v>
      </c>
      <c r="M5" s="10"/>
      <c r="N5" s="10"/>
      <c r="O5" s="6"/>
      <c r="P5" s="8"/>
      <c r="Q5" s="7"/>
      <c r="R5" s="8"/>
    </row>
    <row r="6" spans="1:18" x14ac:dyDescent="0.3">
      <c r="A6" s="4">
        <f t="shared" si="0"/>
        <v>-2</v>
      </c>
      <c r="B6" s="4">
        <v>30</v>
      </c>
      <c r="C6" s="3">
        <f>(1.225*B6*'Testing Foil Defintion '!$B$2)/'Testing Results'!$B$18</f>
        <v>612500</v>
      </c>
      <c r="D6" s="10"/>
      <c r="E6" s="10"/>
      <c r="F6" s="6"/>
      <c r="G6" s="8"/>
      <c r="H6" s="6"/>
      <c r="I6" s="8"/>
      <c r="K6" s="4">
        <f t="shared" si="1"/>
        <v>40</v>
      </c>
      <c r="L6" s="3">
        <f>(1.225*K6*'Testing Foil Defintion '!$B$2)/'Testing Results'!$B$18</f>
        <v>816666.66666666674</v>
      </c>
      <c r="M6" s="10"/>
      <c r="N6" s="10"/>
      <c r="O6" s="6"/>
      <c r="P6" s="8"/>
      <c r="Q6" s="7"/>
      <c r="R6" s="8"/>
    </row>
    <row r="7" spans="1:18" x14ac:dyDescent="0.3">
      <c r="A7" s="4">
        <f t="shared" si="0"/>
        <v>0</v>
      </c>
      <c r="B7" s="4">
        <v>30</v>
      </c>
      <c r="C7" s="3">
        <f>(1.225*B7*'Testing Foil Defintion '!$B$2)/'Testing Results'!$B$18</f>
        <v>612500</v>
      </c>
      <c r="D7" s="10"/>
      <c r="E7" s="10"/>
      <c r="F7" s="6"/>
      <c r="G7" s="8"/>
      <c r="H7" s="6"/>
      <c r="I7" s="8"/>
      <c r="K7" s="4">
        <f t="shared" si="1"/>
        <v>50</v>
      </c>
      <c r="L7" s="3">
        <f>(1.225*K7*'Testing Foil Defintion '!$B$2)/'Testing Results'!$B$18</f>
        <v>1020833.3333333335</v>
      </c>
      <c r="M7" s="10"/>
      <c r="N7" s="10"/>
      <c r="O7" s="6"/>
      <c r="P7" s="8"/>
      <c r="Q7" s="7"/>
      <c r="R7" s="8"/>
    </row>
    <row r="8" spans="1:18" x14ac:dyDescent="0.3">
      <c r="A8" s="4">
        <f t="shared" si="0"/>
        <v>2</v>
      </c>
      <c r="B8" s="4">
        <v>30</v>
      </c>
      <c r="C8" s="3">
        <f>(1.225*B8*'Testing Foil Defintion '!$B$2)/'Testing Results'!$B$18</f>
        <v>612500</v>
      </c>
      <c r="D8" s="10"/>
      <c r="E8" s="10"/>
      <c r="F8" s="6"/>
      <c r="G8" s="8"/>
      <c r="H8" s="6"/>
      <c r="I8" s="8"/>
    </row>
    <row r="9" spans="1:18" x14ac:dyDescent="0.3">
      <c r="A9" s="4">
        <f t="shared" si="0"/>
        <v>4</v>
      </c>
      <c r="B9" s="4">
        <v>30</v>
      </c>
      <c r="C9" s="3">
        <f>(1.225*B9*'Testing Foil Defintion '!$B$2)/'Testing Results'!$B$18</f>
        <v>612500</v>
      </c>
      <c r="D9" s="10"/>
      <c r="E9" s="10"/>
      <c r="F9" s="6"/>
      <c r="G9" s="8"/>
      <c r="H9" s="6"/>
      <c r="I9" s="8"/>
    </row>
    <row r="10" spans="1:18" x14ac:dyDescent="0.3">
      <c r="A10" s="4">
        <f t="shared" si="0"/>
        <v>6</v>
      </c>
      <c r="B10" s="4">
        <v>30</v>
      </c>
      <c r="C10" s="3">
        <f>(1.225*B10*'Testing Foil Defintion '!$B$2)/'Testing Results'!$B$18</f>
        <v>612500</v>
      </c>
      <c r="D10" s="10"/>
      <c r="E10" s="10"/>
      <c r="F10" s="6"/>
      <c r="G10" s="8"/>
      <c r="H10" s="6"/>
      <c r="I10" s="8"/>
    </row>
    <row r="11" spans="1:18" x14ac:dyDescent="0.3">
      <c r="A11" s="4">
        <f t="shared" si="0"/>
        <v>8</v>
      </c>
      <c r="B11" s="4">
        <v>30</v>
      </c>
      <c r="C11" s="3">
        <f>(1.225*B11*'Testing Foil Defintion '!$B$2)/'Testing Results'!$B$18</f>
        <v>612500</v>
      </c>
      <c r="D11" s="10"/>
      <c r="E11" s="10"/>
      <c r="F11" s="6"/>
      <c r="G11" s="8"/>
      <c r="H11" s="6"/>
      <c r="I11" s="8"/>
    </row>
    <row r="12" spans="1:18" x14ac:dyDescent="0.3">
      <c r="A12" s="4">
        <f t="shared" si="0"/>
        <v>10</v>
      </c>
      <c r="B12" s="4">
        <v>30</v>
      </c>
      <c r="C12" s="3">
        <f>(1.225*B12*'Testing Foil Defintion '!$B$2)/'Testing Results'!$B$18</f>
        <v>612500</v>
      </c>
      <c r="D12" s="10"/>
      <c r="E12" s="10"/>
      <c r="F12" s="6"/>
      <c r="G12" s="8"/>
      <c r="H12" s="11"/>
      <c r="I12" s="12"/>
    </row>
    <row r="14" spans="1:18" x14ac:dyDescent="0.3">
      <c r="A14" s="1" t="s">
        <v>14</v>
      </c>
    </row>
    <row r="15" spans="1:18" x14ac:dyDescent="0.3">
      <c r="A15" s="1" t="s">
        <v>16</v>
      </c>
      <c r="B15" s="2">
        <v>278</v>
      </c>
    </row>
    <row r="16" spans="1:18" x14ac:dyDescent="0.3">
      <c r="A16" s="1" t="s">
        <v>17</v>
      </c>
      <c r="B16" s="2" t="s">
        <v>18</v>
      </c>
    </row>
    <row r="17" spans="1:2" x14ac:dyDescent="0.3">
      <c r="A17" s="1"/>
      <c r="B17" s="2"/>
    </row>
    <row r="18" spans="1:2" x14ac:dyDescent="0.3">
      <c r="A18" s="1"/>
      <c r="B18" s="5">
        <v>1.2E-5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Testing Foil Defintion </vt:lpstr>
      <vt:lpstr>Testing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Rollo Tully</dc:creator>
  <cp:lastModifiedBy>Rollo Tully</cp:lastModifiedBy>
  <dcterms:created xsi:type="dcterms:W3CDTF">2015-06-05T18:19:34Z</dcterms:created>
  <dcterms:modified xsi:type="dcterms:W3CDTF">2024-10-20T23:02:39Z</dcterms:modified>
</cp:coreProperties>
</file>